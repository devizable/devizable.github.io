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1B0BF91B-7298-4F3C-8FED-9D965339DC8A}" xr6:coauthVersionLast="47" xr6:coauthVersionMax="47" xr10:uidLastSave="{00000000-0000-0000-0000-000000000000}"/>
  <bookViews>
    <workbookView xWindow="13830" yWindow="0" windowWidth="20670" windowHeight="13140" xr2:uid="{00000000-000D-0000-FFFF-FFFF00000000}"/>
  </bookViews>
  <sheets>
    <sheet name="Summary" sheetId="2" r:id="rId1"/>
    <sheet name="Order Detail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2" l="1"/>
  <c r="P25" i="2"/>
  <c r="O25" i="2"/>
  <c r="N25" i="2"/>
  <c r="M25" i="2"/>
  <c r="L25" i="2"/>
  <c r="K25" i="2"/>
  <c r="J25" i="2"/>
  <c r="I25" i="2"/>
  <c r="H25" i="2"/>
  <c r="G25" i="2"/>
  <c r="G22" i="2" s="1"/>
  <c r="F25" i="2"/>
  <c r="F22" i="2" s="1"/>
  <c r="E25" i="2"/>
  <c r="D25" i="2"/>
  <c r="Q24" i="2"/>
  <c r="P24" i="2"/>
  <c r="O24" i="2"/>
  <c r="N24" i="2"/>
  <c r="M24" i="2"/>
  <c r="L24" i="2"/>
  <c r="K24" i="2"/>
  <c r="J24" i="2"/>
  <c r="I24" i="2"/>
  <c r="I22" i="2" s="1"/>
  <c r="H24" i="2"/>
  <c r="G24" i="2"/>
  <c r="F24" i="2"/>
  <c r="E24" i="2"/>
  <c r="D24" i="2"/>
  <c r="Q23" i="2"/>
  <c r="Q22" i="2" s="1"/>
  <c r="P23" i="2"/>
  <c r="O23" i="2"/>
  <c r="N23" i="2"/>
  <c r="M23" i="2"/>
  <c r="L23" i="2"/>
  <c r="K23" i="2"/>
  <c r="K22" i="2" s="1"/>
  <c r="J23" i="2"/>
  <c r="J22" i="2" s="1"/>
  <c r="I23" i="2"/>
  <c r="H23" i="2"/>
  <c r="G23" i="2"/>
  <c r="F23" i="2"/>
  <c r="E23" i="2"/>
  <c r="E22" i="2" s="1"/>
  <c r="D23" i="2"/>
  <c r="D22" i="2" s="1"/>
  <c r="P22" i="2"/>
  <c r="O22" i="2"/>
  <c r="N22" i="2"/>
  <c r="M22" i="2"/>
  <c r="L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Q20" i="2"/>
  <c r="P20" i="2"/>
  <c r="O20" i="2"/>
  <c r="N20" i="2"/>
  <c r="M20" i="2"/>
  <c r="L20" i="2"/>
  <c r="K20" i="2"/>
  <c r="J20" i="2"/>
  <c r="I20" i="2"/>
  <c r="H20" i="2"/>
  <c r="H18" i="2" s="1"/>
  <c r="G20" i="2"/>
  <c r="F20" i="2"/>
  <c r="E20" i="2"/>
  <c r="D20" i="2"/>
  <c r="Q19" i="2"/>
  <c r="P19" i="2"/>
  <c r="P18" i="2" s="1"/>
  <c r="O19" i="2"/>
  <c r="N19" i="2"/>
  <c r="N18" i="2" s="1"/>
  <c r="M19" i="2"/>
  <c r="M18" i="2" s="1"/>
  <c r="L19" i="2"/>
  <c r="L18" i="2" s="1"/>
  <c r="K19" i="2"/>
  <c r="K18" i="2" s="1"/>
  <c r="J19" i="2"/>
  <c r="J18" i="2" s="1"/>
  <c r="I19" i="2"/>
  <c r="I18" i="2" s="1"/>
  <c r="H19" i="2"/>
  <c r="G19" i="2"/>
  <c r="F19" i="2"/>
  <c r="E19" i="2"/>
  <c r="E18" i="2" s="1"/>
  <c r="D19" i="2"/>
  <c r="D18" i="2" s="1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F18" i="2" l="1"/>
  <c r="G18" i="2"/>
  <c r="Q18" i="2"/>
  <c r="O18" i="2"/>
  <c r="H22" i="2"/>
</calcChain>
</file>

<file path=xl/sharedStrings.xml><?xml version="1.0" encoding="utf-8"?>
<sst xmlns="http://schemas.openxmlformats.org/spreadsheetml/2006/main" count="15" uniqueCount="11">
  <si>
    <t>Sample Tableau to Excel Export</t>
  </si>
  <si>
    <t>Profit by Category</t>
  </si>
  <si>
    <t>Sales by Category</t>
  </si>
  <si>
    <t>Order Details (Past 13 Months)</t>
  </si>
  <si>
    <t>13 Mo Total</t>
  </si>
  <si>
    <t>Profit</t>
  </si>
  <si>
    <t>Total</t>
  </si>
  <si>
    <t>Furniture</t>
  </si>
  <si>
    <t>Office Supplies</t>
  </si>
  <si>
    <t>Technology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</si>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</sst>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m/yy"/>
    <numFmt numFmtId="165" formatCode="#,##0.00;\-#,##0.00;#,##0.00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164" fontId="3" fillId="2" borderId="0" xfId="0" applyNumberFormat="1" applyFont="1" applyFill="1" applyAlignment="1">
      <alignment horizontal="right"/>
    </xf>
    <xf numFmtId="0" fontId="4" fillId="0" borderId="0" xfId="0" applyFont="1"/>
    <xf numFmtId="0" fontId="4" fillId="3" borderId="0" xfId="0" applyFont="1" applyFill="1"/>
    <xf numFmtId="6" fontId="4" fillId="3" borderId="0" xfId="0" applyNumberFormat="1" applyFont="1" applyFill="1"/>
    <xf numFmtId="16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CFD0"/>
      <color rgb="FF8FB202"/>
      <color rgb="FFF3A5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Summary!$C$19:$C$21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FB20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4C-468B-B959-F6B01552904F}"/>
              </c:ext>
            </c:extLst>
          </c:dPt>
          <c:dPt>
            <c:idx val="1"/>
            <c:invertIfNegative val="0"/>
            <c:bubble3D val="0"/>
            <c:spPr>
              <a:solidFill>
                <a:srgbClr val="97CFD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4C-468B-B959-F6B01552904F}"/>
              </c:ext>
            </c:extLst>
          </c:dPt>
          <c:dPt>
            <c:idx val="2"/>
            <c:invertIfNegative val="0"/>
            <c:bubble3D val="0"/>
            <c:spPr>
              <a:solidFill>
                <a:srgbClr val="F3A5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C-468B-B959-F6B01552904F}"/>
              </c:ext>
            </c:extLst>
          </c:dPt>
          <c:cat>
            <c:strRef>
              <c:f>Summary!$C$19:$C$21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Summary!$Q$19:$Q$21</c:f>
              <c:numCache>
                <c:formatCode>"$"#,##0_);[Red]\("$"#,##0\)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C-468B-B959-F6B015529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290757520"/>
        <c:axId val="1290758000"/>
      </c:barChart>
      <c:catAx>
        <c:axId val="129075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58000"/>
        <c:crosses val="autoZero"/>
        <c:auto val="1"/>
        <c:lblAlgn val="ctr"/>
        <c:lblOffset val="100"/>
        <c:noMultiLvlLbl val="0"/>
      </c:catAx>
      <c:valAx>
        <c:axId val="1290758000"/>
        <c:scaling>
          <c:orientation val="minMax"/>
        </c:scaling>
        <c:delete val="1"/>
        <c:axPos val="b"/>
        <c:numFmt formatCode="&quot;$&quot;#,##0_);[Red]\(&quot;$&quot;#,##0\)" sourceLinked="1"/>
        <c:majorTickMark val="none"/>
        <c:minorTickMark val="none"/>
        <c:tickLblPos val="nextTo"/>
        <c:crossAx val="129075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Summary!$C$23:$C$25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FB20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F8-4B39-8C04-46A1F596DC29}"/>
              </c:ext>
            </c:extLst>
          </c:dPt>
          <c:dPt>
            <c:idx val="1"/>
            <c:invertIfNegative val="0"/>
            <c:bubble3D val="0"/>
            <c:spPr>
              <a:solidFill>
                <a:srgbClr val="97CFD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F8-4B39-8C04-46A1F596DC29}"/>
              </c:ext>
            </c:extLst>
          </c:dPt>
          <c:dPt>
            <c:idx val="2"/>
            <c:invertIfNegative val="0"/>
            <c:bubble3D val="0"/>
            <c:spPr>
              <a:solidFill>
                <a:srgbClr val="F3A5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EF8-4B39-8C04-46A1F596DC29}"/>
              </c:ext>
            </c:extLst>
          </c:dPt>
          <c:cat>
            <c:strRef>
              <c:f>Summary!$C$19:$C$21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Summary!$Q$23:$Q$25</c:f>
              <c:numCache>
                <c:formatCode>"$"#,##0_);[Red]\("$"#,##0\)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F8-4B39-8C04-46A1F596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290757520"/>
        <c:axId val="1290758000"/>
      </c:barChart>
      <c:catAx>
        <c:axId val="129075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58000"/>
        <c:crosses val="autoZero"/>
        <c:auto val="1"/>
        <c:lblAlgn val="ctr"/>
        <c:lblOffset val="100"/>
        <c:noMultiLvlLbl val="0"/>
      </c:catAx>
      <c:valAx>
        <c:axId val="1290758000"/>
        <c:scaling>
          <c:orientation val="minMax"/>
        </c:scaling>
        <c:delete val="1"/>
        <c:axPos val="b"/>
        <c:numFmt formatCode="&quot;$&quot;#,##0_);[Red]\(&quot;$&quot;#,##0\)" sourceLinked="1"/>
        <c:majorTickMark val="none"/>
        <c:minorTickMark val="none"/>
        <c:tickLblPos val="nextTo"/>
        <c:crossAx val="129075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2</xdr:row>
      <xdr:rowOff>14287</xdr:rowOff>
    </xdr:from>
    <xdr:to>
      <xdr:col>7</xdr:col>
      <xdr:colOff>142875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AA78C-D3B3-08B1-DC51-CE1AA8B39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15</xdr:col>
      <xdr:colOff>352425</xdr:colOff>
      <xdr:row>13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43B613-5C51-471F-8E40-DD78B9647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showGridLines="0" tabSelected="1" zoomScaleNormal="100" workbookViewId="0">
      <selection activeCell="J10" sqref="J10"/>
    </sheetView>
  </sheetViews>
  <sheetFormatPr defaultRowHeight="15" x14ac:dyDescent="0.25"/>
  <cols>
    <col min="1" max="1" width="2.7109375" customWidth="1"/>
    <col min="2" max="16" width="14" customWidth="1"/>
    <col min="17" max="17" width="14.7109375" customWidth="1"/>
    <col min="18" max="23" width="9.7109375" customWidth="1"/>
  </cols>
  <sheetData>
    <row r="1" spans="1:17" ht="27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7" ht="18.75" customHeight="1" x14ac:dyDescent="0.25">
      <c r="B3" s="3" t="s">
        <v>1</v>
      </c>
      <c r="J3" s="3" t="s">
        <v>2</v>
      </c>
    </row>
    <row r="15" spans="1:17" ht="18.75" customHeight="1" x14ac:dyDescent="0.25">
      <c r="B15" s="3" t="s">
        <v>3</v>
      </c>
    </row>
    <row r="17" spans="2:51" x14ac:dyDescent="0.25">
      <c r="B17" s="4" t="str">
        <f>IF('Order Details'!A1="", "", 'Order Details'!A1)</f>
        <v/>
      </c>
      <c r="C17" s="4" t="str">
        <f>IF('Order Details'!B1="", "", 'Order Details'!B1)</f>
        <v/>
      </c>
      <c r="D17" s="5">
        <f>'Order Details'!C1-0</f>
        <v>0</v>
      </c>
      <c r="E17" s="5">
        <f>'Order Details'!D1-0</f>
        <v>0</v>
      </c>
      <c r="F17" s="5">
        <f>'Order Details'!E1-0</f>
        <v>0</v>
      </c>
      <c r="G17" s="5">
        <f>'Order Details'!F1-0</f>
        <v>0</v>
      </c>
      <c r="H17" s="5">
        <f>'Order Details'!G1-0</f>
        <v>0</v>
      </c>
      <c r="I17" s="5">
        <f>'Order Details'!H1-0</f>
        <v>0</v>
      </c>
      <c r="J17" s="5">
        <f>'Order Details'!I1-0</f>
        <v>0</v>
      </c>
      <c r="K17" s="5">
        <f>'Order Details'!J1-0</f>
        <v>0</v>
      </c>
      <c r="L17" s="5">
        <f>'Order Details'!K1-0</f>
        <v>0</v>
      </c>
      <c r="M17" s="5">
        <f>'Order Details'!L1-0</f>
        <v>0</v>
      </c>
      <c r="N17" s="5">
        <f>'Order Details'!M1-0</f>
        <v>0</v>
      </c>
      <c r="O17" s="5">
        <f>'Order Details'!N1-0</f>
        <v>0</v>
      </c>
      <c r="P17" s="5">
        <f>'Order Details'!O1-0</f>
        <v>0</v>
      </c>
      <c r="Q17" s="6" t="s">
        <v>4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2:51" x14ac:dyDescent="0.25">
      <c r="B18" s="8" t="s">
        <v>5</v>
      </c>
      <c r="C18" s="8" t="s">
        <v>6</v>
      </c>
      <c r="D18" s="9">
        <f>SUM(D19:D21)</f>
        <v>0</v>
      </c>
      <c r="E18" s="9">
        <f t="shared" ref="E18:Q18" si="0">SUM(E19:E21)</f>
        <v>0</v>
      </c>
      <c r="F18" s="9">
        <f t="shared" si="0"/>
        <v>0</v>
      </c>
      <c r="G18" s="9">
        <f t="shared" si="0"/>
        <v>0</v>
      </c>
      <c r="H18" s="9">
        <f t="shared" si="0"/>
        <v>0</v>
      </c>
      <c r="I18" s="9">
        <f t="shared" si="0"/>
        <v>0</v>
      </c>
      <c r="J18" s="9">
        <f t="shared" si="0"/>
        <v>0</v>
      </c>
      <c r="K18" s="9">
        <f t="shared" si="0"/>
        <v>0</v>
      </c>
      <c r="L18" s="9">
        <f t="shared" si="0"/>
        <v>0</v>
      </c>
      <c r="M18" s="9">
        <f t="shared" si="0"/>
        <v>0</v>
      </c>
      <c r="N18" s="9">
        <f t="shared" si="0"/>
        <v>0</v>
      </c>
      <c r="O18" s="9">
        <f t="shared" si="0"/>
        <v>0</v>
      </c>
      <c r="P18" s="9">
        <f t="shared" si="0"/>
        <v>0</v>
      </c>
      <c r="Q18" s="9">
        <f t="shared" si="0"/>
        <v>0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2:51" x14ac:dyDescent="0.25">
      <c r="C19" t="s">
        <v>7</v>
      </c>
      <c r="D19" s="11">
        <f>SUMIFS('Order Details'!$C:$C, 'Order Details'!$A:$A,Summary!$B$18, 'Order Details'!$B:$B,Summary!$C19)</f>
        <v>0</v>
      </c>
      <c r="E19" s="11">
        <f>SUMIFS('Order Details'!$C:$C, 'Order Details'!$A:$A,Summary!$B$18, 'Order Details'!$B:$B,Summary!$C19)</f>
        <v>0</v>
      </c>
      <c r="F19" s="11">
        <f>SUMIFS('Order Details'!$C:$C, 'Order Details'!$A:$A,Summary!$B$18, 'Order Details'!$B:$B,Summary!$C19)</f>
        <v>0</v>
      </c>
      <c r="G19" s="11">
        <f>SUMIFS('Order Details'!$C:$C, 'Order Details'!$A:$A,Summary!$B$18, 'Order Details'!$B:$B,Summary!$C19)</f>
        <v>0</v>
      </c>
      <c r="H19" s="11">
        <f>SUMIFS('Order Details'!$C:$C, 'Order Details'!$A:$A,Summary!$B$18, 'Order Details'!$B:$B,Summary!$C19)</f>
        <v>0</v>
      </c>
      <c r="I19" s="11">
        <f>SUMIFS('Order Details'!$C:$C, 'Order Details'!$A:$A,Summary!$B$18, 'Order Details'!$B:$B,Summary!$C19)</f>
        <v>0</v>
      </c>
      <c r="J19" s="11">
        <f>SUMIFS('Order Details'!$C:$C, 'Order Details'!$A:$A,Summary!$B$18, 'Order Details'!$B:$B,Summary!$C19)</f>
        <v>0</v>
      </c>
      <c r="K19" s="11">
        <f>SUMIFS('Order Details'!$C:$C, 'Order Details'!$A:$A,Summary!$B$18, 'Order Details'!$B:$B,Summary!$C19)</f>
        <v>0</v>
      </c>
      <c r="L19" s="11">
        <f>SUMIFS('Order Details'!$C:$C, 'Order Details'!$A:$A,Summary!$B$18, 'Order Details'!$B:$B,Summary!$C19)</f>
        <v>0</v>
      </c>
      <c r="M19" s="11">
        <f>SUMIFS('Order Details'!$C:$C, 'Order Details'!$A:$A,Summary!$B$18, 'Order Details'!$B:$B,Summary!$C19)</f>
        <v>0</v>
      </c>
      <c r="N19" s="11">
        <f>SUMIFS('Order Details'!$C:$C, 'Order Details'!$A:$A,Summary!$B$18, 'Order Details'!$B:$B,Summary!$C19)</f>
        <v>0</v>
      </c>
      <c r="O19" s="11">
        <f>SUMIFS('Order Details'!$C:$C, 'Order Details'!$A:$A,Summary!$B$18, 'Order Details'!$B:$B,Summary!$C19)</f>
        <v>0</v>
      </c>
      <c r="P19" s="11">
        <f>SUMIFS('Order Details'!$C:$C, 'Order Details'!$A:$A,Summary!$B$18, 'Order Details'!$B:$B,Summary!$C19)</f>
        <v>0</v>
      </c>
      <c r="Q19" s="11">
        <f>SUMIFS('Order Details'!$C:$C, 'Order Details'!$A:$A,Summary!$B$18, 'Order Details'!$B:$B,Summary!$C19)</f>
        <v>0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2:51" x14ac:dyDescent="0.25">
      <c r="C20" t="s">
        <v>8</v>
      </c>
      <c r="D20" s="11">
        <f>SUMIFS('Order Details'!$C:$C, 'Order Details'!$A:$A,Summary!$B$18, 'Order Details'!$B:$B,Summary!$C20)</f>
        <v>0</v>
      </c>
      <c r="E20" s="11">
        <f>SUMIFS('Order Details'!$C:$C, 'Order Details'!$A:$A,Summary!$B$18, 'Order Details'!$B:$B,Summary!$C20)</f>
        <v>0</v>
      </c>
      <c r="F20" s="11">
        <f>SUMIFS('Order Details'!$C:$C, 'Order Details'!$A:$A,Summary!$B$18, 'Order Details'!$B:$B,Summary!$C20)</f>
        <v>0</v>
      </c>
      <c r="G20" s="11">
        <f>SUMIFS('Order Details'!$C:$C, 'Order Details'!$A:$A,Summary!$B$18, 'Order Details'!$B:$B,Summary!$C20)</f>
        <v>0</v>
      </c>
      <c r="H20" s="11">
        <f>SUMIFS('Order Details'!$C:$C, 'Order Details'!$A:$A,Summary!$B$18, 'Order Details'!$B:$B,Summary!$C20)</f>
        <v>0</v>
      </c>
      <c r="I20" s="11">
        <f>SUMIFS('Order Details'!$C:$C, 'Order Details'!$A:$A,Summary!$B$18, 'Order Details'!$B:$B,Summary!$C20)</f>
        <v>0</v>
      </c>
      <c r="J20" s="11">
        <f>SUMIFS('Order Details'!$C:$C, 'Order Details'!$A:$A,Summary!$B$18, 'Order Details'!$B:$B,Summary!$C20)</f>
        <v>0</v>
      </c>
      <c r="K20" s="11">
        <f>SUMIFS('Order Details'!$C:$C, 'Order Details'!$A:$A,Summary!$B$18, 'Order Details'!$B:$B,Summary!$C20)</f>
        <v>0</v>
      </c>
      <c r="L20" s="11">
        <f>SUMIFS('Order Details'!$C:$C, 'Order Details'!$A:$A,Summary!$B$18, 'Order Details'!$B:$B,Summary!$C20)</f>
        <v>0</v>
      </c>
      <c r="M20" s="11">
        <f>SUMIFS('Order Details'!$C:$C, 'Order Details'!$A:$A,Summary!$B$18, 'Order Details'!$B:$B,Summary!$C20)</f>
        <v>0</v>
      </c>
      <c r="N20" s="11">
        <f>SUMIFS('Order Details'!$C:$C, 'Order Details'!$A:$A,Summary!$B$18, 'Order Details'!$B:$B,Summary!$C20)</f>
        <v>0</v>
      </c>
      <c r="O20" s="11">
        <f>SUMIFS('Order Details'!$C:$C, 'Order Details'!$A:$A,Summary!$B$18, 'Order Details'!$B:$B,Summary!$C20)</f>
        <v>0</v>
      </c>
      <c r="P20" s="11">
        <f>SUMIFS('Order Details'!$C:$C, 'Order Details'!$A:$A,Summary!$B$18, 'Order Details'!$B:$B,Summary!$C20)</f>
        <v>0</v>
      </c>
      <c r="Q20" s="11">
        <f>SUMIFS('Order Details'!$C:$C, 'Order Details'!$A:$A,Summary!$B$18, 'Order Details'!$B:$B,Summary!$C20)</f>
        <v>0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2:51" x14ac:dyDescent="0.25">
      <c r="C21" t="s">
        <v>9</v>
      </c>
      <c r="D21" s="11">
        <f>SUMIFS('Order Details'!$C:$C, 'Order Details'!$A:$A,Summary!$B$18, 'Order Details'!$B:$B,Summary!$C21)</f>
        <v>0</v>
      </c>
      <c r="E21" s="11">
        <f>SUMIFS('Order Details'!$C:$C, 'Order Details'!$A:$A,Summary!$B$18, 'Order Details'!$B:$B,Summary!$C21)</f>
        <v>0</v>
      </c>
      <c r="F21" s="11">
        <f>SUMIFS('Order Details'!$C:$C, 'Order Details'!$A:$A,Summary!$B$18, 'Order Details'!$B:$B,Summary!$C21)</f>
        <v>0</v>
      </c>
      <c r="G21" s="11">
        <f>SUMIFS('Order Details'!$C:$C, 'Order Details'!$A:$A,Summary!$B$18, 'Order Details'!$B:$B,Summary!$C21)</f>
        <v>0</v>
      </c>
      <c r="H21" s="11">
        <f>SUMIFS('Order Details'!$C:$C, 'Order Details'!$A:$A,Summary!$B$18, 'Order Details'!$B:$B,Summary!$C21)</f>
        <v>0</v>
      </c>
      <c r="I21" s="11">
        <f>SUMIFS('Order Details'!$C:$C, 'Order Details'!$A:$A,Summary!$B$18, 'Order Details'!$B:$B,Summary!$C21)</f>
        <v>0</v>
      </c>
      <c r="J21" s="11">
        <f>SUMIFS('Order Details'!$C:$C, 'Order Details'!$A:$A,Summary!$B$18, 'Order Details'!$B:$B,Summary!$C21)</f>
        <v>0</v>
      </c>
      <c r="K21" s="11">
        <f>SUMIFS('Order Details'!$C:$C, 'Order Details'!$A:$A,Summary!$B$18, 'Order Details'!$B:$B,Summary!$C21)</f>
        <v>0</v>
      </c>
      <c r="L21" s="11">
        <f>SUMIFS('Order Details'!$C:$C, 'Order Details'!$A:$A,Summary!$B$18, 'Order Details'!$B:$B,Summary!$C21)</f>
        <v>0</v>
      </c>
      <c r="M21" s="11">
        <f>SUMIFS('Order Details'!$C:$C, 'Order Details'!$A:$A,Summary!$B$18, 'Order Details'!$B:$B,Summary!$C21)</f>
        <v>0</v>
      </c>
      <c r="N21" s="11">
        <f>SUMIFS('Order Details'!$C:$C, 'Order Details'!$A:$A,Summary!$B$18, 'Order Details'!$B:$B,Summary!$C21)</f>
        <v>0</v>
      </c>
      <c r="O21" s="11">
        <f>SUMIFS('Order Details'!$C:$C, 'Order Details'!$A:$A,Summary!$B$18, 'Order Details'!$B:$B,Summary!$C21)</f>
        <v>0</v>
      </c>
      <c r="P21" s="11">
        <f>SUMIFS('Order Details'!$C:$C, 'Order Details'!$A:$A,Summary!$B$18, 'Order Details'!$B:$B,Summary!$C21)</f>
        <v>0</v>
      </c>
      <c r="Q21" s="11">
        <f>SUMIFS('Order Details'!$C:$C, 'Order Details'!$A:$A,Summary!$B$18, 'Order Details'!$B:$B,Summary!$C21)</f>
        <v>0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2:51" x14ac:dyDescent="0.25">
      <c r="B22" s="8" t="s">
        <v>10</v>
      </c>
      <c r="C22" s="8" t="s">
        <v>6</v>
      </c>
      <c r="D22" s="9">
        <f>SUM(D23:D25)</f>
        <v>0</v>
      </c>
      <c r="E22" s="9">
        <f t="shared" ref="E22:Q22" si="1">SUM(E23:E25)</f>
        <v>0</v>
      </c>
      <c r="F22" s="9">
        <f t="shared" si="1"/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  <c r="Q22" s="9">
        <f t="shared" si="1"/>
        <v>0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2:51" x14ac:dyDescent="0.25">
      <c r="C23" t="s">
        <v>7</v>
      </c>
      <c r="D23" s="11">
        <f>SUMIFS('Order Details'!$C:$C, 'Order Details'!$A:$A,Summary!$B$22, 'Order Details'!$B:$B,Summary!$C23)</f>
        <v>0</v>
      </c>
      <c r="E23" s="11">
        <f>SUMIFS('Order Details'!$C:$C, 'Order Details'!$A:$A,Summary!$B$22, 'Order Details'!$B:$B,Summary!$C23)</f>
        <v>0</v>
      </c>
      <c r="F23" s="11">
        <f>SUMIFS('Order Details'!$C:$C, 'Order Details'!$A:$A,Summary!$B$22, 'Order Details'!$B:$B,Summary!$C23)</f>
        <v>0</v>
      </c>
      <c r="G23" s="11">
        <f>SUMIFS('Order Details'!$C:$C, 'Order Details'!$A:$A,Summary!$B$22, 'Order Details'!$B:$B,Summary!$C23)</f>
        <v>0</v>
      </c>
      <c r="H23" s="11">
        <f>SUMIFS('Order Details'!$C:$C, 'Order Details'!$A:$A,Summary!$B$22, 'Order Details'!$B:$B,Summary!$C23)</f>
        <v>0</v>
      </c>
      <c r="I23" s="11">
        <f>SUMIFS('Order Details'!$C:$C, 'Order Details'!$A:$A,Summary!$B$22, 'Order Details'!$B:$B,Summary!$C23)</f>
        <v>0</v>
      </c>
      <c r="J23" s="11">
        <f>SUMIFS('Order Details'!$C:$C, 'Order Details'!$A:$A,Summary!$B$22, 'Order Details'!$B:$B,Summary!$C23)</f>
        <v>0</v>
      </c>
      <c r="K23" s="11">
        <f>SUMIFS('Order Details'!$C:$C, 'Order Details'!$A:$A,Summary!$B$22, 'Order Details'!$B:$B,Summary!$C23)</f>
        <v>0</v>
      </c>
      <c r="L23" s="11">
        <f>SUMIFS('Order Details'!$C:$C, 'Order Details'!$A:$A,Summary!$B$22, 'Order Details'!$B:$B,Summary!$C23)</f>
        <v>0</v>
      </c>
      <c r="M23" s="11">
        <f>SUMIFS('Order Details'!$C:$C, 'Order Details'!$A:$A,Summary!$B$22, 'Order Details'!$B:$B,Summary!$C23)</f>
        <v>0</v>
      </c>
      <c r="N23" s="11">
        <f>SUMIFS('Order Details'!$C:$C, 'Order Details'!$A:$A,Summary!$B$22, 'Order Details'!$B:$B,Summary!$C23)</f>
        <v>0</v>
      </c>
      <c r="O23" s="11">
        <f>SUMIFS('Order Details'!$C:$C, 'Order Details'!$A:$A,Summary!$B$22, 'Order Details'!$B:$B,Summary!$C23)</f>
        <v>0</v>
      </c>
      <c r="P23" s="11">
        <f>SUMIFS('Order Details'!$C:$C, 'Order Details'!$A:$A,Summary!$B$22, 'Order Details'!$B:$B,Summary!$C23)</f>
        <v>0</v>
      </c>
      <c r="Q23" s="11">
        <f>SUMIFS('Order Details'!$C:$C, 'Order Details'!$A:$A,Summary!$B$22, 'Order Details'!$B:$B,Summary!$C23)</f>
        <v>0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2:51" x14ac:dyDescent="0.25">
      <c r="C24" t="s">
        <v>8</v>
      </c>
      <c r="D24" s="11">
        <f>SUMIFS('Order Details'!$C:$C, 'Order Details'!$A:$A,Summary!$B$18, 'Order Details'!$B:$B,Summary!$C24)</f>
        <v>0</v>
      </c>
      <c r="E24" s="11">
        <f>SUMIFS('Order Details'!$C:$C, 'Order Details'!$A:$A,Summary!$B$18, 'Order Details'!$B:$B,Summary!$C24)</f>
        <v>0</v>
      </c>
      <c r="F24" s="11">
        <f>SUMIFS('Order Details'!$C:$C, 'Order Details'!$A:$A,Summary!$B$18, 'Order Details'!$B:$B,Summary!$C24)</f>
        <v>0</v>
      </c>
      <c r="G24" s="11">
        <f>SUMIFS('Order Details'!$C:$C, 'Order Details'!$A:$A,Summary!$B$18, 'Order Details'!$B:$B,Summary!$C24)</f>
        <v>0</v>
      </c>
      <c r="H24" s="11">
        <f>SUMIFS('Order Details'!$C:$C, 'Order Details'!$A:$A,Summary!$B$18, 'Order Details'!$B:$B,Summary!$C24)</f>
        <v>0</v>
      </c>
      <c r="I24" s="11">
        <f>SUMIFS('Order Details'!$C:$C, 'Order Details'!$A:$A,Summary!$B$18, 'Order Details'!$B:$B,Summary!$C24)</f>
        <v>0</v>
      </c>
      <c r="J24" s="11">
        <f>SUMIFS('Order Details'!$C:$C, 'Order Details'!$A:$A,Summary!$B$18, 'Order Details'!$B:$B,Summary!$C24)</f>
        <v>0</v>
      </c>
      <c r="K24" s="11">
        <f>SUMIFS('Order Details'!$C:$C, 'Order Details'!$A:$A,Summary!$B$18, 'Order Details'!$B:$B,Summary!$C24)</f>
        <v>0</v>
      </c>
      <c r="L24" s="11">
        <f>SUMIFS('Order Details'!$C:$C, 'Order Details'!$A:$A,Summary!$B$18, 'Order Details'!$B:$B,Summary!$C24)</f>
        <v>0</v>
      </c>
      <c r="M24" s="11">
        <f>SUMIFS('Order Details'!$C:$C, 'Order Details'!$A:$A,Summary!$B$18, 'Order Details'!$B:$B,Summary!$C24)</f>
        <v>0</v>
      </c>
      <c r="N24" s="11">
        <f>SUMIFS('Order Details'!$C:$C, 'Order Details'!$A:$A,Summary!$B$18, 'Order Details'!$B:$B,Summary!$C24)</f>
        <v>0</v>
      </c>
      <c r="O24" s="11">
        <f>SUMIFS('Order Details'!$C:$C, 'Order Details'!$A:$A,Summary!$B$18, 'Order Details'!$B:$B,Summary!$C24)</f>
        <v>0</v>
      </c>
      <c r="P24" s="11">
        <f>SUMIFS('Order Details'!$C:$C, 'Order Details'!$A:$A,Summary!$B$18, 'Order Details'!$B:$B,Summary!$C24)</f>
        <v>0</v>
      </c>
      <c r="Q24" s="11">
        <f>SUMIFS('Order Details'!$C:$C, 'Order Details'!$A:$A,Summary!$B$18, 'Order Details'!$B:$B,Summary!$C24)</f>
        <v>0</v>
      </c>
    </row>
    <row r="25" spans="2:51" x14ac:dyDescent="0.25">
      <c r="C25" t="s">
        <v>9</v>
      </c>
      <c r="D25" s="11">
        <f>SUMIFS('Order Details'!$C:$C, 'Order Details'!$A:$A,Summary!$B$18, 'Order Details'!$B:$B,Summary!$C25)</f>
        <v>0</v>
      </c>
      <c r="E25" s="11">
        <f>SUMIFS('Order Details'!$C:$C, 'Order Details'!$A:$A,Summary!$B$18, 'Order Details'!$B:$B,Summary!$C25)</f>
        <v>0</v>
      </c>
      <c r="F25" s="11">
        <f>SUMIFS('Order Details'!$C:$C, 'Order Details'!$A:$A,Summary!$B$18, 'Order Details'!$B:$B,Summary!$C25)</f>
        <v>0</v>
      </c>
      <c r="G25" s="11">
        <f>SUMIFS('Order Details'!$C:$C, 'Order Details'!$A:$A,Summary!$B$18, 'Order Details'!$B:$B,Summary!$C25)</f>
        <v>0</v>
      </c>
      <c r="H25" s="11">
        <f>SUMIFS('Order Details'!$C:$C, 'Order Details'!$A:$A,Summary!$B$18, 'Order Details'!$B:$B,Summary!$C25)</f>
        <v>0</v>
      </c>
      <c r="I25" s="11">
        <f>SUMIFS('Order Details'!$C:$C, 'Order Details'!$A:$A,Summary!$B$18, 'Order Details'!$B:$B,Summary!$C25)</f>
        <v>0</v>
      </c>
      <c r="J25" s="11">
        <f>SUMIFS('Order Details'!$C:$C, 'Order Details'!$A:$A,Summary!$B$18, 'Order Details'!$B:$B,Summary!$C25)</f>
        <v>0</v>
      </c>
      <c r="K25" s="11">
        <f>SUMIFS('Order Details'!$C:$C, 'Order Details'!$A:$A,Summary!$B$18, 'Order Details'!$B:$B,Summary!$C25)</f>
        <v>0</v>
      </c>
      <c r="L25" s="11">
        <f>SUMIFS('Order Details'!$C:$C, 'Order Details'!$A:$A,Summary!$B$18, 'Order Details'!$B:$B,Summary!$C25)</f>
        <v>0</v>
      </c>
      <c r="M25" s="11">
        <f>SUMIFS('Order Details'!$C:$C, 'Order Details'!$A:$A,Summary!$B$18, 'Order Details'!$B:$B,Summary!$C25)</f>
        <v>0</v>
      </c>
      <c r="N25" s="11">
        <f>SUMIFS('Order Details'!$C:$C, 'Order Details'!$A:$A,Summary!$B$18, 'Order Details'!$B:$B,Summary!$C25)</f>
        <v>0</v>
      </c>
      <c r="O25" s="11">
        <f>SUMIFS('Order Details'!$C:$C, 'Order Details'!$A:$A,Summary!$B$18, 'Order Details'!$B:$B,Summary!$C25)</f>
        <v>0</v>
      </c>
      <c r="P25" s="11">
        <f>SUMIFS('Order Details'!$C:$C, 'Order Details'!$A:$A,Summary!$B$18, 'Order Details'!$B:$B,Summary!$C25)</f>
        <v>0</v>
      </c>
      <c r="Q25" s="11">
        <f>SUMIFS('Order Details'!$C:$C, 'Order Details'!$A:$A,Summary!$B$18, 'Order Details'!$B:$B,Summary!$C25)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Y35"/>
  <sheetViews>
    <sheetView zoomScaleNormal="100" workbookViewId="0"/>
  </sheetViews>
  <sheetFormatPr defaultRowHeight="15" x14ac:dyDescent="0.25"/>
  <sheetData>
    <row r="2" spans="3:51" x14ac:dyDescent="0.25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3:51" x14ac:dyDescent="0.25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3:51" x14ac:dyDescent="0.25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3:51" x14ac:dyDescent="0.25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3:51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3:51" x14ac:dyDescent="0.25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 spans="3:51" x14ac:dyDescent="0.25">
      <c r="D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3:51" x14ac:dyDescent="0.25">
      <c r="D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3:51" x14ac:dyDescent="0.25"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R10" s="10"/>
      <c r="S10" s="10"/>
      <c r="T10" s="10"/>
      <c r="V10" s="10"/>
      <c r="W10" s="10"/>
      <c r="X10" s="10"/>
      <c r="Y10" s="10"/>
      <c r="Z10" s="10"/>
      <c r="AA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</row>
    <row r="11" spans="3:51" x14ac:dyDescent="0.25"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R11" s="10"/>
      <c r="S11" s="10"/>
      <c r="T11" s="10"/>
      <c r="V11" s="10"/>
      <c r="W11" s="10"/>
      <c r="X11" s="10"/>
      <c r="Y11" s="10"/>
      <c r="Z11" s="10"/>
      <c r="AA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3:51" x14ac:dyDescent="0.25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3:51" x14ac:dyDescent="0.25"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3:51" x14ac:dyDescent="0.25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3:51" x14ac:dyDescent="0.2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3:51" x14ac:dyDescent="0.25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4:51" x14ac:dyDescent="0.25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4:51" x14ac:dyDescent="0.25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4:51" x14ac:dyDescent="0.25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4:51" x14ac:dyDescent="0.25">
      <c r="D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4:51" x14ac:dyDescent="0.25">
      <c r="D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4:51" x14ac:dyDescent="0.25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4:51" x14ac:dyDescent="0.25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4:51" x14ac:dyDescent="0.25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4:51" x14ac:dyDescent="0.25"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4:51" x14ac:dyDescent="0.25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4:51" x14ac:dyDescent="0.25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4:51" x14ac:dyDescent="0.25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 spans="4:51" x14ac:dyDescent="0.25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</row>
    <row r="30" spans="4:51" x14ac:dyDescent="0.25">
      <c r="F30" s="10"/>
      <c r="G30" s="10"/>
      <c r="H30" s="10"/>
      <c r="I30" s="10"/>
      <c r="L30" s="10"/>
      <c r="M30" s="10"/>
      <c r="N30" s="10"/>
      <c r="O30" s="10"/>
      <c r="P30" s="10"/>
      <c r="S30" s="10"/>
      <c r="T30" s="10"/>
      <c r="V30" s="10"/>
      <c r="W30" s="10"/>
      <c r="X30" s="10"/>
      <c r="Y30" s="10"/>
      <c r="Z30" s="10"/>
      <c r="AA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</row>
    <row r="31" spans="4:51" x14ac:dyDescent="0.25">
      <c r="F31" s="10"/>
      <c r="G31" s="10"/>
      <c r="H31" s="10"/>
      <c r="I31" s="10"/>
      <c r="L31" s="10"/>
      <c r="M31" s="10"/>
      <c r="N31" s="10"/>
      <c r="O31" s="10"/>
      <c r="P31" s="10"/>
      <c r="S31" s="10"/>
      <c r="T31" s="10"/>
      <c r="V31" s="10"/>
      <c r="W31" s="10"/>
      <c r="X31" s="10"/>
      <c r="Y31" s="10"/>
      <c r="Z31" s="10"/>
      <c r="AA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</row>
    <row r="32" spans="4:51" x14ac:dyDescent="0.25">
      <c r="H32" s="10"/>
      <c r="J32" s="10"/>
      <c r="K32" s="10"/>
      <c r="L32" s="10"/>
      <c r="M32" s="10"/>
      <c r="O32" s="10"/>
      <c r="R32" s="10"/>
      <c r="S32" s="10"/>
      <c r="T32" s="10"/>
      <c r="U32" s="10"/>
      <c r="W32" s="10"/>
      <c r="X32" s="10"/>
      <c r="Y32" s="10"/>
      <c r="Z32" s="10"/>
      <c r="AA32" s="10"/>
      <c r="AB32" s="10"/>
      <c r="AE32" s="10"/>
      <c r="AF32" s="10"/>
      <c r="AH32" s="10"/>
      <c r="AJ32" s="10"/>
      <c r="AK32" s="10"/>
      <c r="AL32" s="10"/>
      <c r="AM32" s="10"/>
      <c r="AN32" s="10"/>
      <c r="AP32" s="10"/>
      <c r="AR32" s="10"/>
      <c r="AT32" s="10"/>
      <c r="AU32" s="10"/>
      <c r="AV32" s="10"/>
      <c r="AW32" s="10"/>
      <c r="AX32" s="10"/>
      <c r="AY32" s="10"/>
    </row>
    <row r="33" spans="4:51" x14ac:dyDescent="0.25">
      <c r="H33" s="10"/>
      <c r="J33" s="10"/>
      <c r="K33" s="10"/>
      <c r="L33" s="10"/>
      <c r="M33" s="10"/>
      <c r="O33" s="10"/>
      <c r="R33" s="10"/>
      <c r="S33" s="10"/>
      <c r="T33" s="10"/>
      <c r="U33" s="10"/>
      <c r="W33" s="10"/>
      <c r="X33" s="10"/>
      <c r="Y33" s="10"/>
      <c r="Z33" s="10"/>
      <c r="AA33" s="10"/>
      <c r="AB33" s="10"/>
      <c r="AE33" s="10"/>
      <c r="AF33" s="10"/>
      <c r="AH33" s="10"/>
      <c r="AJ33" s="10"/>
      <c r="AK33" s="10"/>
      <c r="AL33" s="10"/>
      <c r="AM33" s="10"/>
      <c r="AN33" s="10"/>
      <c r="AP33" s="10"/>
      <c r="AR33" s="10"/>
      <c r="AT33" s="10"/>
      <c r="AU33" s="10"/>
      <c r="AV33" s="10"/>
      <c r="AW33" s="10"/>
      <c r="AX33" s="10"/>
      <c r="AY33" s="10"/>
    </row>
    <row r="34" spans="4:51" x14ac:dyDescent="0.25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</row>
    <row r="35" spans="4:51" x14ac:dyDescent="0.25"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2026-06-04T13:31:51Z</dcterms:created>
  <dcterms:modified xsi:type="dcterms:W3CDTF">2026-06-26T12:39:55Z</dcterms:modified>
  <cp:category/>
</cp:coreProperties>
</file>